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defaultThemeVersion="124226"/>
  <xr:revisionPtr revIDLastSave="0" documentId="8_{395A8E3D-2505-44C7-B602-659E865410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8" i="4" s="1"/>
  <c r="B9" i="4" s="1"/>
  <c r="B10" i="4" s="1"/>
  <c r="B11" i="4" s="1"/>
  <c r="B12" i="4" s="1"/>
  <c r="B1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M1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<sst xmlns="http://schemas.openxmlformats.org/spreadsheetml/2006/main" count="248" uniqueCount="134">
  <si>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</si>
  <si>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</si>
  <si>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</si>
  <si>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</si>
  <si>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</si>
  <si>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</si>
  <si>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Student 2: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</si>
  <si>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</si>
  <si>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</si>
  <si>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</si>
  <si>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</si>
  <si>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</si>
  <si>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Observații</t>
  </si>
  <si>
    <t xml:space="preserve">1. La proiectarea TCs se consideră o metodă care poate avea următoarea semnătură: 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</si>
  <si>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</si>
  <si>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</si>
  <si>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</si>
  <si>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</si>
  <si>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</si>
  <si>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</si>
  <si>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</si>
  <si>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</si>
  <si>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</si>
  <si>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</si>
  <si>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</si>
  <si>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</si>
  <si>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categorie</t>
  </si>
  <si>
    <t>expected</t>
  </si>
  <si>
    <t>2,3,2</t>
  </si>
  <si>
    <t>…</t>
  </si>
  <si>
    <t>-</t>
  </si>
  <si>
    <t>""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</si>
  <si>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</si>
  <si>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</si>
  <si>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</si>
  <si>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</si>
  <si>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</si>
  <si>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</si>
  <si>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</si>
  <si>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</si>
  <si>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expected result</t>
  </si>
  <si>
    <t>no</t>
  </si>
  <si>
    <t>BBT TCs</t>
  </si>
  <si>
    <t>Final        TC No.</t>
  </si>
  <si>
    <t>Req. ID</t>
  </si>
  <si>
    <t>ECP TCs</t>
  </si>
  <si>
    <t>BVA TCs</t>
  </si>
  <si>
    <t>actual result</t>
  </si>
  <si>
    <t>F01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</si>
  <si>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</si>
  <si>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</si>
  <si>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</si>
  <si>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</si>
  <si>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</si>
  <si>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</si>
  <si>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</si>
  <si>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</si>
  <si>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</si>
  <si>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</si>
  <si>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</si>
  <si>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t>Florea Ariana Ioana</t>
  </si>
  <si>
    <t>Gabor Dacian</t>
  </si>
  <si>
    <t>Gal Alexandru</t>
  </si>
  <si>
    <t>1. Gestiunea produselor dintr-un magazin de băuturi</t>
  </si>
  <si>
    <t xml:space="preserve"> Programul va permite următoarele operaţii:</t>
  </si>
  <si>
    <t>F01. Actualizarea unui produs existent (nume, preț, categorie, tip)</t>
  </si>
  <si>
    <t>updateProduct(int id, String name, double price, CategorieBautura categorie, TipBautura tip): void</t>
  </si>
  <si>
    <t>2. Metoda este definită la nivelul service.</t>
  </si>
  <si>
    <r>
      <t>Exemplu: Se aleg parametrii: name și price.</t>
    </r>
    <r>
      <rPr>
        <b/>
        <sz val="11"/>
        <color indexed="30"/>
        <rFont val="Calibri"/>
        <family val="2"/>
      </rPr>
      <t>; Condiţii pentru aceşti parametri de intrare: name este un string cu lungimea validă de la 2 la 50 caractere; price este valid dacă ia valori între 0.01 și 1000.00</t>
    </r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</si>
  <si>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update la produs</t>
    </r>
  </si>
  <si>
    <t>01. name = "", length = 0</t>
  </si>
  <si>
    <t>name is String</t>
  </si>
  <si>
    <t>F01.update la  produs</t>
  </si>
  <si>
    <t>name is non-empty String</t>
  </si>
  <si>
    <t>price is double</t>
  </si>
  <si>
    <t>price &gt; 0</t>
  </si>
  <si>
    <t xml:space="preserve">name is null </t>
  </si>
  <si>
    <t>name is empty String</t>
  </si>
  <si>
    <t>price =0</t>
  </si>
  <si>
    <t>price &lt; 0</t>
  </si>
  <si>
    <t>1,4</t>
  </si>
  <si>
    <t>id</t>
  </si>
  <si>
    <t>name</t>
  </si>
  <si>
    <t>price</t>
  </si>
  <si>
    <t>tip</t>
  </si>
  <si>
    <t>Pepsi Max</t>
  </si>
  <si>
    <t>BUBBLE_TEA</t>
  </si>
  <si>
    <t>BASIC</t>
  </si>
  <si>
    <t>Success (Product updated)</t>
  </si>
  <si>
    <t>3,4</t>
  </si>
  <si>
    <t>ValidationException: "Numele nu poate fi gol!"</t>
  </si>
  <si>
    <t>1,6</t>
  </si>
  <si>
    <t>PEpsiMAx</t>
  </si>
  <si>
    <t>ValidationException: "Pret invalid!</t>
  </si>
  <si>
    <t>1,5</t>
  </si>
  <si>
    <t>PEpsiMax</t>
  </si>
  <si>
    <t>2,4</t>
  </si>
  <si>
    <t>name is String, length in &gt;0</t>
  </si>
  <si>
    <t>02. name = "A", length = 1</t>
  </si>
  <si>
    <t>03. name = "AB", length = 2</t>
  </si>
  <si>
    <t>04. name = , length = 0</t>
  </si>
  <si>
    <t>price is double, price &gt; 0</t>
  </si>
  <si>
    <t>01. price = -0.01</t>
  </si>
  <si>
    <t>02. price = 0.0</t>
  </si>
  <si>
    <t>03. price = 0.01</t>
  </si>
  <si>
    <t>yes</t>
  </si>
  <si>
    <t>ValidationException: "Numele nu poate fi gol!</t>
  </si>
  <si>
    <t>1(01)</t>
  </si>
  <si>
    <t>1(02)</t>
  </si>
  <si>
    <t>1(03)</t>
  </si>
  <si>
    <t>1(04)</t>
  </si>
  <si>
    <t>2(1)</t>
  </si>
  <si>
    <t>2(2)</t>
  </si>
  <si>
    <t>2(3)</t>
  </si>
  <si>
    <t>A</t>
  </si>
  <si>
    <t>AB</t>
  </si>
  <si>
    <t>PepsiMax</t>
  </si>
  <si>
    <t>ValidationException: "Pret invalid!"</t>
  </si>
  <si>
    <t>TC01_EC</t>
  </si>
  <si>
    <t>TC02_EC</t>
  </si>
  <si>
    <t>TC03_EC</t>
  </si>
  <si>
    <t>TC04_EC</t>
  </si>
  <si>
    <t>TC05_EC</t>
  </si>
  <si>
    <t>Cond 1-02</t>
  </si>
  <si>
    <t>Cond 1-03</t>
  </si>
  <si>
    <t>Cond 2-03</t>
  </si>
  <si>
    <t>Cond 2-02</t>
  </si>
  <si>
    <t>Cond 1-01</t>
  </si>
  <si>
    <t>"Pepsi Max"</t>
  </si>
  <si>
    <t>null</t>
  </si>
  <si>
    <t>"A"</t>
  </si>
  <si>
    <t>"AB"</t>
  </si>
  <si>
    <t>ValidationException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</si>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</sst>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b/>
      <sz val="11"/>
      <color indexed="3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  <font>
      <sz val="11"/>
      <color theme="1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7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/>
    <xf numFmtId="0" fontId="10" fillId="0" borderId="1" xfId="0" applyFont="1" applyBorder="1"/>
    <xf numFmtId="0" fontId="11" fillId="0" borderId="0" xfId="0" applyFont="1"/>
    <xf numFmtId="0" fontId="12" fillId="0" borderId="1" xfId="0" applyFont="1" applyBorder="1"/>
    <xf numFmtId="0" fontId="13" fillId="0" borderId="1" xfId="0" applyFont="1" applyBorder="1"/>
    <xf numFmtId="0" fontId="0" fillId="0" borderId="0" xfId="0" applyAlignment="1">
      <alignment horizontal="center" vertical="center"/>
    </xf>
    <xf numFmtId="0" fontId="14" fillId="0" borderId="1" xfId="0" applyFont="1" applyBorder="1"/>
    <xf numFmtId="0" fontId="9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/>
    <xf numFmtId="0" fontId="14" fillId="0" borderId="1" xfId="0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8" fillId="0" borderId="1" xfId="0" applyFont="1" applyBorder="1"/>
    <xf numFmtId="0" fontId="1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2" xfId="0" applyFont="1" applyBorder="1"/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7" fillId="0" borderId="1" xfId="0" applyFont="1" applyBorder="1" applyAlignment="1">
      <alignment horizontal="left"/>
    </xf>
    <xf numFmtId="0" fontId="17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20" fillId="0" borderId="0" xfId="0" applyFont="1"/>
    <xf numFmtId="0" fontId="0" fillId="0" borderId="7" xfId="0" applyBorder="1"/>
    <xf numFmtId="0" fontId="7" fillId="0" borderId="8" xfId="0" applyFont="1" applyBorder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/>
    <xf numFmtId="0" fontId="0" fillId="3" borderId="10" xfId="0" applyFill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2" fillId="2" borderId="7" xfId="0" applyFont="1" applyFill="1" applyBorder="1" applyAlignment="1">
      <alignment horizontal="center"/>
    </xf>
    <xf numFmtId="0" fontId="23" fillId="2" borderId="11" xfId="0" applyFont="1" applyFill="1" applyBorder="1" applyAlignment="1">
      <alignment horizontal="center"/>
    </xf>
    <xf numFmtId="0" fontId="24" fillId="0" borderId="0" xfId="0" applyFont="1"/>
    <xf numFmtId="0" fontId="0" fillId="0" borderId="0" xfId="0" applyAlignment="1">
      <alignment vertical="center"/>
    </xf>
    <xf numFmtId="0" fontId="18" fillId="0" borderId="0" xfId="0" applyFont="1"/>
    <xf numFmtId="0" fontId="25" fillId="0" borderId="0" xfId="0" applyFont="1"/>
    <xf numFmtId="0" fontId="19" fillId="0" borderId="12" xfId="0" applyFont="1" applyBorder="1"/>
    <xf numFmtId="0" fontId="11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left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/>
    </xf>
    <xf numFmtId="0" fontId="7" fillId="0" borderId="1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19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1" fillId="0" borderId="0" xfId="0" applyFont="1" applyAlignment="1">
      <alignment horizontal="left"/>
    </xf>
    <xf numFmtId="0" fontId="7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3" borderId="20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23" fillId="2" borderId="23" xfId="0" applyFont="1" applyFill="1" applyBorder="1" applyAlignment="1">
      <alignment horizontal="center"/>
    </xf>
    <xf numFmtId="0" fontId="23" fillId="2" borderId="5" xfId="0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1" fillId="0" borderId="0" xfId="0" applyFont="1"/>
    <xf numFmtId="0" fontId="1" fillId="0" borderId="10" xfId="0" applyFont="1" applyBorder="1" applyAlignment="1">
      <alignment horizontal="left"/>
    </xf>
    <xf numFmtId="0" fontId="26" fillId="0" borderId="0" xfId="0" applyFont="1"/>
    <xf numFmtId="16" fontId="17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tabSelected="1" topLeftCell="A6" zoomScale="81" zoomScaleNormal="81" workbookViewId="0">
      <selection activeCell="D16" sqref="D16"/>
    </sheetView>
  </sheetViews>
  <sheetFormatPr defaultRowHeight="14.5" x14ac:dyDescent="0.35"/>
  <cols>
    <col min="4" max="4" width="22.54296875" customWidth="1"/>
    <col min="9" max="9" width="32.81640625" customWidth="1"/>
    <col min="10" max="10" width="10.54296875" customWidth="1"/>
    <col min="12" max="12" width="12.1796875" customWidth="1"/>
    <col min="14" max="14" width="20" customWidth="1"/>
  </cols>
  <sheetData>
    <row r="1" spans="2:10" x14ac:dyDescent="0.35">
      <c r="C1" s="66" t="s">
        <v>0</v>
      </c>
      <c r="D1" s="67"/>
      <c r="E1" s="67"/>
      <c r="F1" s="68"/>
      <c r="H1" s="50" t="s">
        <v>1</v>
      </c>
      <c r="I1" s="50"/>
      <c r="J1" s="50"/>
    </row>
    <row r="2" spans="2:10" x14ac:dyDescent="0.35">
      <c r="H2" s="82" t="s">
        <v>2</v>
      </c>
      <c r="I2" s="82"/>
      <c r="J2" s="82"/>
    </row>
    <row r="3" spans="2:10" x14ac:dyDescent="0.35">
      <c r="H3" s="2"/>
      <c r="I3" s="2" t="s">
        <v>3</v>
      </c>
      <c r="J3" s="2" t="s">
        <v>4</v>
      </c>
    </row>
    <row r="4" spans="2:10" x14ac:dyDescent="0.35">
      <c r="H4" s="2" t="s">
        <v>5</v>
      </c>
      <c r="I4" s="2" t="s">
        <v>60</v>
      </c>
      <c r="J4" s="2">
        <v>233</v>
      </c>
    </row>
    <row r="5" spans="2:10" x14ac:dyDescent="0.35">
      <c r="H5" s="2" t="s">
        <v>6</v>
      </c>
      <c r="I5" s="2" t="s">
        <v>61</v>
      </c>
      <c r="J5" s="2">
        <v>233</v>
      </c>
    </row>
    <row r="6" spans="2:10" x14ac:dyDescent="0.35">
      <c r="B6" s="36"/>
      <c r="H6" s="2" t="s">
        <v>7</v>
      </c>
      <c r="I6" s="2" t="s">
        <v>62</v>
      </c>
      <c r="J6" s="2">
        <v>233</v>
      </c>
    </row>
    <row r="7" spans="2:10" ht="14.5" customHeight="1" x14ac:dyDescent="0.35"/>
    <row r="8" spans="2:10" x14ac:dyDescent="0.35">
      <c r="B8" s="48" t="s">
        <v>8</v>
      </c>
    </row>
    <row r="9" spans="2:10" x14ac:dyDescent="0.35">
      <c r="B9" s="1" t="s">
        <v>9</v>
      </c>
    </row>
    <row r="10" spans="2:10" x14ac:dyDescent="0.35">
      <c r="B10" s="1" t="s">
        <v>10</v>
      </c>
    </row>
    <row r="11" spans="2:10" x14ac:dyDescent="0.35">
      <c r="B11" s="1" t="s">
        <v>11</v>
      </c>
    </row>
    <row r="12" spans="2:10" x14ac:dyDescent="0.35">
      <c r="B12" s="1"/>
      <c r="C12" s="1"/>
      <c r="D12" s="1"/>
      <c r="E12" s="1"/>
    </row>
    <row r="13" spans="2:10" x14ac:dyDescent="0.35">
      <c r="B13" s="1"/>
      <c r="C13" s="1"/>
      <c r="D13" s="1"/>
      <c r="E13" s="1"/>
    </row>
    <row r="14" spans="2:10" x14ac:dyDescent="0.35">
      <c r="B14" t="s">
        <v>63</v>
      </c>
      <c r="C14" s="1"/>
      <c r="D14" s="1"/>
      <c r="E14" s="1"/>
    </row>
    <row r="15" spans="2:10" x14ac:dyDescent="0.35">
      <c r="B15" t="s">
        <v>64</v>
      </c>
      <c r="C15" s="1"/>
      <c r="D15" s="1"/>
      <c r="E15" s="1"/>
    </row>
    <row r="16" spans="2:10" x14ac:dyDescent="0.35">
      <c r="B16" s="134" t="s">
        <v>65</v>
      </c>
      <c r="C16" s="1"/>
      <c r="D16" s="1"/>
      <c r="E16" s="1"/>
    </row>
    <row r="17" spans="1:15" x14ac:dyDescent="0.35">
      <c r="B17" s="1"/>
      <c r="D17" s="1"/>
      <c r="E17" s="1"/>
    </row>
    <row r="18" spans="1:15" x14ac:dyDescent="0.35">
      <c r="B18" s="48" t="s">
        <v>12</v>
      </c>
    </row>
    <row r="19" spans="1:15" x14ac:dyDescent="0.35">
      <c r="B19" s="1" t="s">
        <v>13</v>
      </c>
    </row>
    <row r="20" spans="1:15" x14ac:dyDescent="0.35">
      <c r="C20" s="46" t="s">
        <v>66</v>
      </c>
    </row>
    <row r="21" spans="1:15" x14ac:dyDescent="0.35">
      <c r="B21" s="1" t="s">
        <v>67</v>
      </c>
    </row>
    <row r="22" spans="1:15" x14ac:dyDescent="0.35">
      <c r="B22" s="1" t="s">
        <v>14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5">
      <c r="B23" s="1" t="s">
        <v>15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5" customHeight="1" x14ac:dyDescent="0.35">
      <c r="A24" s="47"/>
      <c r="B24" s="81" t="s">
        <v>68</v>
      </c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</row>
    <row r="26" spans="1:15" x14ac:dyDescent="0.35">
      <c r="C26" s="49"/>
    </row>
  </sheetData>
  <mergeCells count="3">
    <mergeCell ref="B24:N24"/>
    <mergeCell ref="C1:F1"/>
    <mergeCell ref="H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Q22"/>
  <sheetViews>
    <sheetView zoomScale="66" workbookViewId="0">
      <selection activeCell="E31" sqref="E31"/>
    </sheetView>
  </sheetViews>
  <sheetFormatPr defaultRowHeight="14.5" x14ac:dyDescent="0.35"/>
  <cols>
    <col min="2" max="2" width="10.1796875" bestFit="1" customWidth="1"/>
    <col min="3" max="4" width="18.1796875" bestFit="1" customWidth="1"/>
    <col min="5" max="5" width="19.81640625" bestFit="1" customWidth="1"/>
    <col min="6" max="6" width="5.81640625" customWidth="1"/>
    <col min="7" max="7" width="8" customWidth="1"/>
    <col min="8" max="8" width="11.81640625" bestFit="1" customWidth="1"/>
    <col min="9" max="9" width="11.54296875" bestFit="1" customWidth="1"/>
    <col min="10" max="10" width="25.54296875" bestFit="1" customWidth="1"/>
    <col min="11" max="11" width="9.81640625" bestFit="1" customWidth="1"/>
    <col min="12" max="12" width="12.81640625" bestFit="1" customWidth="1"/>
    <col min="13" max="13" width="8.81640625" bestFit="1" customWidth="1"/>
    <col min="16" max="16" width="29.453125" customWidth="1"/>
    <col min="17" max="17" width="5" customWidth="1"/>
  </cols>
  <sheetData>
    <row r="1" spans="2:17" x14ac:dyDescent="0.35">
      <c r="B1" s="66" t="s">
        <v>0</v>
      </c>
      <c r="C1" s="67"/>
      <c r="D1" s="67"/>
      <c r="E1" s="68"/>
    </row>
    <row r="3" spans="2:17" x14ac:dyDescent="0.35">
      <c r="B3" s="135" t="s">
        <v>72</v>
      </c>
      <c r="C3" s="73"/>
      <c r="D3" s="73"/>
      <c r="E3" s="73"/>
      <c r="F3" s="73"/>
      <c r="G3" s="74"/>
    </row>
    <row r="5" spans="2:17" x14ac:dyDescent="0.35">
      <c r="B5" s="75" t="s">
        <v>16</v>
      </c>
      <c r="C5" s="75"/>
      <c r="D5" s="75"/>
      <c r="E5" s="75"/>
      <c r="G5" s="76" t="s">
        <v>17</v>
      </c>
      <c r="H5" s="76"/>
      <c r="I5" s="76"/>
      <c r="J5" s="76"/>
      <c r="K5" s="76"/>
      <c r="L5" s="76"/>
      <c r="M5" s="76"/>
      <c r="N5" s="76"/>
      <c r="O5" s="76"/>
      <c r="P5" s="76"/>
      <c r="Q5" s="76"/>
    </row>
    <row r="6" spans="2:17" x14ac:dyDescent="0.35">
      <c r="B6" s="23" t="s">
        <v>18</v>
      </c>
      <c r="C6" s="23" t="s">
        <v>19</v>
      </c>
      <c r="D6" s="23" t="s">
        <v>20</v>
      </c>
      <c r="E6" s="23" t="s">
        <v>21</v>
      </c>
      <c r="G6" s="77" t="s">
        <v>22</v>
      </c>
      <c r="H6" s="58" t="s">
        <v>23</v>
      </c>
      <c r="I6" s="56" t="s">
        <v>24</v>
      </c>
      <c r="J6" s="61"/>
      <c r="K6" s="61"/>
      <c r="L6" s="61"/>
      <c r="M6" s="61"/>
      <c r="N6" s="61"/>
      <c r="O6" s="57"/>
      <c r="P6" s="60" t="s">
        <v>25</v>
      </c>
      <c r="Q6" s="60"/>
    </row>
    <row r="7" spans="2:17" x14ac:dyDescent="0.35">
      <c r="B7" s="4">
        <v>1</v>
      </c>
      <c r="C7" s="69" t="s">
        <v>71</v>
      </c>
      <c r="D7" s="4" t="s">
        <v>73</v>
      </c>
      <c r="E7" s="4"/>
      <c r="G7" s="78"/>
      <c r="H7" s="59"/>
      <c r="I7" s="23" t="s">
        <v>81</v>
      </c>
      <c r="J7" s="23" t="s">
        <v>82</v>
      </c>
      <c r="K7" s="23" t="s">
        <v>83</v>
      </c>
      <c r="L7" s="23" t="s">
        <v>26</v>
      </c>
      <c r="M7" s="23" t="s">
        <v>84</v>
      </c>
      <c r="N7" s="56"/>
      <c r="O7" s="57"/>
      <c r="P7" s="56" t="s">
        <v>27</v>
      </c>
      <c r="Q7" s="57"/>
    </row>
    <row r="8" spans="2:17" x14ac:dyDescent="0.35">
      <c r="B8" s="4">
        <v>2</v>
      </c>
      <c r="C8" s="69"/>
      <c r="D8" s="4"/>
      <c r="E8" s="4" t="s">
        <v>76</v>
      </c>
      <c r="G8" s="23">
        <v>1</v>
      </c>
      <c r="H8" s="2" t="s">
        <v>80</v>
      </c>
      <c r="I8" s="2">
        <v>1</v>
      </c>
      <c r="J8" s="2" t="s">
        <v>85</v>
      </c>
      <c r="K8" s="2">
        <v>10.5</v>
      </c>
      <c r="L8" s="5" t="s">
        <v>86</v>
      </c>
      <c r="M8" s="2" t="s">
        <v>87</v>
      </c>
      <c r="N8" s="52"/>
      <c r="O8" s="53" t="s">
        <v>28</v>
      </c>
      <c r="P8" s="52" t="s">
        <v>88</v>
      </c>
      <c r="Q8" s="53"/>
    </row>
    <row r="9" spans="2:17" x14ac:dyDescent="0.35">
      <c r="B9" s="4">
        <v>3</v>
      </c>
      <c r="C9" s="69"/>
      <c r="D9" s="4"/>
      <c r="E9" s="4" t="s">
        <v>77</v>
      </c>
      <c r="G9" s="23">
        <v>2</v>
      </c>
      <c r="H9" s="2" t="s">
        <v>89</v>
      </c>
      <c r="I9" s="2">
        <v>1</v>
      </c>
      <c r="J9" s="2" t="s">
        <v>31</v>
      </c>
      <c r="K9" s="2">
        <v>10.5</v>
      </c>
      <c r="L9" s="2" t="s">
        <v>86</v>
      </c>
      <c r="M9" s="2" t="s">
        <v>87</v>
      </c>
      <c r="N9" s="52"/>
      <c r="O9" s="53" t="s">
        <v>30</v>
      </c>
      <c r="P9" s="52" t="s">
        <v>90</v>
      </c>
      <c r="Q9" s="53"/>
    </row>
    <row r="10" spans="2:17" x14ac:dyDescent="0.35">
      <c r="B10" s="4"/>
      <c r="C10" s="69"/>
      <c r="D10" s="4"/>
      <c r="E10" s="4"/>
      <c r="G10" s="35">
        <v>3</v>
      </c>
      <c r="H10" s="14" t="s">
        <v>91</v>
      </c>
      <c r="I10" s="14">
        <v>1</v>
      </c>
      <c r="J10" s="14" t="s">
        <v>92</v>
      </c>
      <c r="K10" s="14">
        <v>-1</v>
      </c>
      <c r="L10" s="14" t="s">
        <v>86</v>
      </c>
      <c r="M10" s="14" t="s">
        <v>87</v>
      </c>
      <c r="N10" s="64"/>
      <c r="O10" s="65"/>
      <c r="P10" s="64" t="s">
        <v>93</v>
      </c>
      <c r="Q10" s="65"/>
    </row>
    <row r="11" spans="2:17" ht="15" customHeight="1" x14ac:dyDescent="0.35">
      <c r="B11" s="4">
        <v>4</v>
      </c>
      <c r="C11" s="69" t="s">
        <v>74</v>
      </c>
      <c r="D11" s="4" t="s">
        <v>75</v>
      </c>
      <c r="E11" s="4"/>
      <c r="G11" s="35">
        <v>4</v>
      </c>
      <c r="H11" s="14" t="s">
        <v>94</v>
      </c>
      <c r="I11" s="14">
        <v>1</v>
      </c>
      <c r="J11" s="14" t="s">
        <v>95</v>
      </c>
      <c r="K11" s="14">
        <v>0</v>
      </c>
      <c r="L11" s="14" t="s">
        <v>86</v>
      </c>
      <c r="M11" s="14" t="s">
        <v>87</v>
      </c>
      <c r="N11" s="64"/>
      <c r="O11" s="65"/>
      <c r="P11" s="64" t="s">
        <v>93</v>
      </c>
      <c r="Q11" s="65"/>
    </row>
    <row r="12" spans="2:17" x14ac:dyDescent="0.35">
      <c r="B12" s="4">
        <v>5</v>
      </c>
      <c r="C12" s="69"/>
      <c r="D12" s="4"/>
      <c r="E12" s="4" t="s">
        <v>78</v>
      </c>
      <c r="G12" s="13">
        <v>5</v>
      </c>
      <c r="H12" s="9" t="s">
        <v>96</v>
      </c>
      <c r="I12" s="9">
        <v>1</v>
      </c>
      <c r="J12" s="9"/>
      <c r="K12" s="9">
        <v>10.5</v>
      </c>
      <c r="L12" s="9" t="s">
        <v>86</v>
      </c>
      <c r="M12" s="9" t="s">
        <v>87</v>
      </c>
      <c r="N12" s="9"/>
      <c r="O12" s="9"/>
      <c r="P12" s="62" t="s">
        <v>90</v>
      </c>
      <c r="Q12" s="63"/>
    </row>
    <row r="13" spans="2:17" x14ac:dyDescent="0.35">
      <c r="B13" s="4">
        <v>6</v>
      </c>
      <c r="C13" s="70"/>
      <c r="D13" s="4"/>
      <c r="E13" s="4" t="s">
        <v>79</v>
      </c>
      <c r="G13" s="13">
        <v>6</v>
      </c>
      <c r="H13" s="9"/>
      <c r="I13" s="9"/>
      <c r="J13" s="9"/>
      <c r="K13" s="9"/>
      <c r="L13" s="9"/>
      <c r="M13" s="9"/>
      <c r="N13" s="62"/>
      <c r="O13" s="63"/>
      <c r="P13" s="62"/>
      <c r="Q13" s="63"/>
    </row>
    <row r="14" spans="2:17" x14ac:dyDescent="0.35">
      <c r="B14" s="4">
        <v>8</v>
      </c>
      <c r="C14" s="71"/>
      <c r="D14" s="4"/>
      <c r="E14" s="4"/>
      <c r="G14" s="19">
        <v>7</v>
      </c>
      <c r="H14" s="18"/>
      <c r="I14" s="18"/>
      <c r="J14" s="18"/>
      <c r="K14" s="18"/>
      <c r="L14" s="18"/>
      <c r="M14" s="18"/>
      <c r="N14" s="79"/>
      <c r="O14" s="80"/>
      <c r="P14" s="54"/>
      <c r="Q14" s="55"/>
    </row>
    <row r="15" spans="2:17" x14ac:dyDescent="0.35">
      <c r="B15" s="4">
        <v>9</v>
      </c>
      <c r="C15" s="69" t="s">
        <v>29</v>
      </c>
      <c r="D15" s="4"/>
      <c r="E15" s="4"/>
      <c r="G15" s="19">
        <v>8</v>
      </c>
      <c r="H15" s="18"/>
      <c r="I15" s="18"/>
      <c r="J15" s="18"/>
      <c r="K15" s="18"/>
      <c r="L15" s="18"/>
      <c r="M15" s="18"/>
      <c r="N15" s="52"/>
      <c r="O15" s="53"/>
      <c r="P15" s="54"/>
      <c r="Q15" s="55"/>
    </row>
    <row r="16" spans="2:17" x14ac:dyDescent="0.35">
      <c r="B16" s="4">
        <v>10</v>
      </c>
      <c r="C16" s="69"/>
      <c r="D16" s="4"/>
      <c r="E16" s="4"/>
      <c r="G16" s="19"/>
      <c r="H16" s="18"/>
      <c r="I16" s="18"/>
      <c r="J16" s="18"/>
      <c r="K16" s="18"/>
      <c r="L16" s="18"/>
      <c r="M16" s="18"/>
      <c r="N16" s="52"/>
      <c r="O16" s="53"/>
      <c r="P16" s="54"/>
      <c r="Q16" s="55"/>
    </row>
    <row r="17" spans="2:17" x14ac:dyDescent="0.35">
      <c r="B17" s="4">
        <v>11</v>
      </c>
      <c r="C17" s="69" t="s">
        <v>29</v>
      </c>
      <c r="D17" s="4"/>
      <c r="E17" s="4"/>
      <c r="G17" s="19"/>
      <c r="H17" s="18"/>
      <c r="I17" s="18"/>
      <c r="J17" s="18"/>
      <c r="K17" s="18"/>
      <c r="L17" s="18"/>
      <c r="M17" s="18"/>
      <c r="N17" s="52"/>
      <c r="O17" s="53"/>
      <c r="P17" s="54"/>
      <c r="Q17" s="55"/>
    </row>
    <row r="18" spans="2:17" x14ac:dyDescent="0.35">
      <c r="B18" s="4">
        <v>12</v>
      </c>
      <c r="C18" s="69"/>
      <c r="D18" s="4"/>
      <c r="E18" s="4"/>
      <c r="G18" s="19"/>
      <c r="H18" s="18"/>
      <c r="I18" s="18"/>
      <c r="J18" s="18"/>
      <c r="K18" s="18"/>
      <c r="L18" s="18"/>
      <c r="M18" s="18"/>
      <c r="N18" s="52"/>
      <c r="O18" s="53"/>
      <c r="P18" s="54"/>
      <c r="Q18" s="55"/>
    </row>
    <row r="19" spans="2:17" x14ac:dyDescent="0.35">
      <c r="B19" s="4">
        <v>13</v>
      </c>
      <c r="C19" s="69" t="s">
        <v>29</v>
      </c>
      <c r="D19" s="4"/>
      <c r="E19" s="4"/>
      <c r="G19" s="23"/>
      <c r="H19" s="2"/>
      <c r="I19" s="2"/>
      <c r="J19" s="2"/>
      <c r="K19" s="2"/>
      <c r="L19" s="2"/>
      <c r="M19" s="2"/>
      <c r="N19" s="52"/>
      <c r="O19" s="53"/>
      <c r="P19" s="54"/>
      <c r="Q19" s="55"/>
    </row>
    <row r="20" spans="2:17" x14ac:dyDescent="0.35">
      <c r="B20" s="4">
        <v>14</v>
      </c>
      <c r="C20" s="69"/>
      <c r="D20" s="4"/>
      <c r="E20" s="4"/>
    </row>
    <row r="22" spans="2:17" x14ac:dyDescent="0.35">
      <c r="D22" t="s">
        <v>32</v>
      </c>
      <c r="F22" s="51"/>
      <c r="G22" s="51"/>
    </row>
  </sheetData>
  <mergeCells count="41">
    <mergeCell ref="B1:E1"/>
    <mergeCell ref="C19:C20"/>
    <mergeCell ref="C7:C8"/>
    <mergeCell ref="C9:C10"/>
    <mergeCell ref="C11:C12"/>
    <mergeCell ref="C13:C14"/>
    <mergeCell ref="C15:C16"/>
    <mergeCell ref="C17:C18"/>
    <mergeCell ref="B3:G3"/>
    <mergeCell ref="B5:E5"/>
    <mergeCell ref="G5:Q5"/>
    <mergeCell ref="G6:G7"/>
    <mergeCell ref="N14:O14"/>
    <mergeCell ref="P10:Q10"/>
    <mergeCell ref="P11:Q11"/>
    <mergeCell ref="P12:Q12"/>
    <mergeCell ref="P13:Q13"/>
    <mergeCell ref="P14:Q14"/>
    <mergeCell ref="N13:O13"/>
    <mergeCell ref="N10:O10"/>
    <mergeCell ref="N11:O11"/>
    <mergeCell ref="P8:Q8"/>
    <mergeCell ref="P9:Q9"/>
    <mergeCell ref="N7:O7"/>
    <mergeCell ref="H6:H7"/>
    <mergeCell ref="P6:Q6"/>
    <mergeCell ref="N9:O9"/>
    <mergeCell ref="I6:O6"/>
    <mergeCell ref="N8:O8"/>
    <mergeCell ref="P7:Q7"/>
    <mergeCell ref="F22:G22"/>
    <mergeCell ref="N15:O15"/>
    <mergeCell ref="N16:O16"/>
    <mergeCell ref="N17:O17"/>
    <mergeCell ref="P16:Q16"/>
    <mergeCell ref="P17:Q17"/>
    <mergeCell ref="N19:O19"/>
    <mergeCell ref="P18:Q18"/>
    <mergeCell ref="P19:Q19"/>
    <mergeCell ref="N18:O18"/>
    <mergeCell ref="P15:Q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R30"/>
  <sheetViews>
    <sheetView zoomScale="64" workbookViewId="0">
      <selection activeCell="S14" sqref="S14"/>
    </sheetView>
  </sheetViews>
  <sheetFormatPr defaultRowHeight="14.5" x14ac:dyDescent="0.35"/>
  <cols>
    <col min="2" max="2" width="11.26953125" bestFit="1" customWidth="1"/>
    <col min="3" max="3" width="17.1796875" customWidth="1"/>
    <col min="4" max="4" width="30.1796875" bestFit="1" customWidth="1"/>
    <col min="5" max="5" width="7" customWidth="1"/>
    <col min="6" max="6" width="5.54296875" customWidth="1"/>
    <col min="7" max="7" width="9.453125" customWidth="1"/>
    <col min="9" max="9" width="10" customWidth="1"/>
    <col min="10" max="10" width="10.1796875" bestFit="1" customWidth="1"/>
    <col min="11" max="11" width="9.54296875" customWidth="1"/>
    <col min="12" max="12" width="18.26953125" bestFit="1" customWidth="1"/>
    <col min="13" max="13" width="7.26953125" bestFit="1" customWidth="1"/>
    <col min="14" max="14" width="12.81640625" bestFit="1" customWidth="1"/>
    <col min="15" max="15" width="8.81640625" bestFit="1" customWidth="1"/>
    <col min="16" max="16" width="18.1796875" bestFit="1" customWidth="1"/>
    <col min="17" max="17" width="23.26953125" customWidth="1"/>
    <col min="18" max="18" width="9.453125" customWidth="1"/>
  </cols>
  <sheetData>
    <row r="1" spans="2:18" x14ac:dyDescent="0.35">
      <c r="B1" s="66" t="s">
        <v>0</v>
      </c>
      <c r="C1" s="67"/>
      <c r="D1" s="67"/>
      <c r="E1" s="68"/>
    </row>
    <row r="3" spans="2:18" x14ac:dyDescent="0.35">
      <c r="B3" s="72" t="s">
        <v>69</v>
      </c>
      <c r="C3" s="73"/>
      <c r="D3" s="73"/>
      <c r="E3" s="73"/>
      <c r="F3" s="73"/>
      <c r="G3" s="74"/>
    </row>
    <row r="5" spans="2:18" x14ac:dyDescent="0.35">
      <c r="B5" s="89" t="s">
        <v>33</v>
      </c>
      <c r="C5" s="89"/>
      <c r="D5" s="89"/>
      <c r="E5" s="3"/>
      <c r="G5" s="76" t="s">
        <v>34</v>
      </c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</row>
    <row r="6" spans="2:18" ht="14.5" customHeight="1" x14ac:dyDescent="0.35">
      <c r="B6" s="4" t="s">
        <v>35</v>
      </c>
      <c r="C6" s="4" t="s">
        <v>19</v>
      </c>
      <c r="D6" s="4" t="s">
        <v>33</v>
      </c>
      <c r="E6" s="10"/>
      <c r="G6" s="77" t="s">
        <v>36</v>
      </c>
      <c r="H6" s="77" t="s">
        <v>37</v>
      </c>
      <c r="I6" s="77" t="s">
        <v>38</v>
      </c>
      <c r="J6" s="58" t="s">
        <v>39</v>
      </c>
      <c r="K6" s="85" t="s">
        <v>24</v>
      </c>
      <c r="L6" s="86"/>
      <c r="M6" s="86"/>
      <c r="N6" s="86"/>
      <c r="O6" s="86"/>
      <c r="P6" s="87"/>
      <c r="Q6" s="85" t="s">
        <v>25</v>
      </c>
      <c r="R6" s="87"/>
    </row>
    <row r="7" spans="2:18" x14ac:dyDescent="0.35">
      <c r="B7" s="70">
        <v>1</v>
      </c>
      <c r="C7" s="91" t="s">
        <v>97</v>
      </c>
      <c r="D7" s="2" t="s">
        <v>70</v>
      </c>
      <c r="G7" s="78"/>
      <c r="H7" s="78"/>
      <c r="I7" s="78"/>
      <c r="J7" s="59"/>
      <c r="K7" s="23" t="s">
        <v>81</v>
      </c>
      <c r="L7" s="23" t="s">
        <v>82</v>
      </c>
      <c r="M7" s="34" t="s">
        <v>83</v>
      </c>
      <c r="N7" s="34" t="s">
        <v>26</v>
      </c>
      <c r="O7" s="23" t="s">
        <v>84</v>
      </c>
      <c r="P7" s="23"/>
      <c r="Q7" s="56" t="s">
        <v>40</v>
      </c>
      <c r="R7" s="57"/>
    </row>
    <row r="8" spans="2:18" x14ac:dyDescent="0.35">
      <c r="B8" s="90"/>
      <c r="C8" s="92"/>
      <c r="D8" t="s">
        <v>98</v>
      </c>
      <c r="G8" s="23">
        <v>1</v>
      </c>
      <c r="H8" s="137" t="s">
        <v>107</v>
      </c>
      <c r="I8" s="16">
        <v>2</v>
      </c>
      <c r="J8" s="16" t="s">
        <v>41</v>
      </c>
      <c r="K8" s="33">
        <v>1</v>
      </c>
      <c r="L8" s="33" t="s">
        <v>31</v>
      </c>
      <c r="M8" s="33">
        <v>10.5</v>
      </c>
      <c r="N8" t="s">
        <v>86</v>
      </c>
      <c r="O8" t="s">
        <v>87</v>
      </c>
      <c r="P8" s="33"/>
      <c r="Q8" s="83" t="s">
        <v>106</v>
      </c>
      <c r="R8" s="84"/>
    </row>
    <row r="9" spans="2:18" x14ac:dyDescent="0.35">
      <c r="B9" s="90"/>
      <c r="C9" s="92"/>
      <c r="D9" t="s">
        <v>99</v>
      </c>
      <c r="G9" s="19">
        <v>2</v>
      </c>
      <c r="H9" s="20" t="s">
        <v>108</v>
      </c>
      <c r="I9" s="21">
        <v>1</v>
      </c>
      <c r="J9" s="21" t="s">
        <v>105</v>
      </c>
      <c r="K9" s="22">
        <v>1</v>
      </c>
      <c r="L9" s="18" t="s">
        <v>114</v>
      </c>
      <c r="M9" s="18">
        <v>10.5</v>
      </c>
      <c r="N9" t="s">
        <v>86</v>
      </c>
      <c r="O9" t="s">
        <v>87</v>
      </c>
      <c r="P9" s="18"/>
      <c r="Q9" s="62" t="s">
        <v>88</v>
      </c>
      <c r="R9" s="63"/>
    </row>
    <row r="10" spans="2:18" x14ac:dyDescent="0.35">
      <c r="B10" s="90"/>
      <c r="C10" s="92"/>
      <c r="D10" t="s">
        <v>100</v>
      </c>
      <c r="G10" s="23">
        <v>3</v>
      </c>
      <c r="H10" s="17" t="s">
        <v>109</v>
      </c>
      <c r="I10" s="16">
        <v>1</v>
      </c>
      <c r="J10" s="16" t="s">
        <v>105</v>
      </c>
      <c r="K10" s="32">
        <v>1</v>
      </c>
      <c r="L10" s="33" t="s">
        <v>115</v>
      </c>
      <c r="M10" s="33">
        <v>10.5</v>
      </c>
      <c r="N10" t="s">
        <v>86</v>
      </c>
      <c r="O10" t="s">
        <v>87</v>
      </c>
      <c r="P10" s="33"/>
      <c r="Q10" s="83" t="s">
        <v>88</v>
      </c>
      <c r="R10" s="84"/>
    </row>
    <row r="11" spans="2:18" x14ac:dyDescent="0.35">
      <c r="B11" s="90"/>
      <c r="C11" s="92"/>
      <c r="D11" s="2"/>
      <c r="G11" s="23">
        <v>4</v>
      </c>
      <c r="H11" s="17" t="s">
        <v>110</v>
      </c>
      <c r="I11" s="16">
        <v>5</v>
      </c>
      <c r="J11" s="16" t="s">
        <v>41</v>
      </c>
      <c r="K11" s="32">
        <v>1</v>
      </c>
      <c r="L11" s="33"/>
      <c r="M11" s="33">
        <v>10.5</v>
      </c>
      <c r="N11" t="s">
        <v>86</v>
      </c>
      <c r="O11" t="s">
        <v>87</v>
      </c>
      <c r="P11" s="33"/>
      <c r="Q11" s="83" t="s">
        <v>106</v>
      </c>
      <c r="R11" s="84"/>
    </row>
    <row r="12" spans="2:18" x14ac:dyDescent="0.35">
      <c r="B12" s="71"/>
      <c r="C12" s="93"/>
      <c r="D12" s="2"/>
      <c r="G12" s="23">
        <v>5</v>
      </c>
      <c r="H12" s="17" t="s">
        <v>111</v>
      </c>
      <c r="I12" s="16">
        <v>3</v>
      </c>
      <c r="J12" s="16" t="s">
        <v>41</v>
      </c>
      <c r="K12" s="32">
        <v>1</v>
      </c>
      <c r="L12" s="33" t="s">
        <v>116</v>
      </c>
      <c r="M12" s="33">
        <v>-0.01</v>
      </c>
      <c r="N12" t="s">
        <v>86</v>
      </c>
      <c r="O12" t="s">
        <v>87</v>
      </c>
      <c r="P12" s="33"/>
      <c r="Q12" s="83" t="s">
        <v>117</v>
      </c>
      <c r="R12" s="84"/>
    </row>
    <row r="13" spans="2:18" x14ac:dyDescent="0.35">
      <c r="B13" s="70">
        <v>2</v>
      </c>
      <c r="C13" s="70" t="s">
        <v>101</v>
      </c>
      <c r="D13" s="136" t="s">
        <v>102</v>
      </c>
      <c r="G13" s="19">
        <v>6</v>
      </c>
      <c r="H13" s="20" t="s">
        <v>112</v>
      </c>
      <c r="I13" s="21">
        <v>4</v>
      </c>
      <c r="J13" s="21" t="s">
        <v>41</v>
      </c>
      <c r="K13" s="22">
        <v>1</v>
      </c>
      <c r="L13" s="18" t="s">
        <v>116</v>
      </c>
      <c r="M13" s="18">
        <v>0</v>
      </c>
      <c r="N13" t="s">
        <v>86</v>
      </c>
      <c r="O13" t="s">
        <v>87</v>
      </c>
      <c r="P13" s="18"/>
      <c r="Q13" s="62" t="s">
        <v>117</v>
      </c>
      <c r="R13" s="63"/>
    </row>
    <row r="14" spans="2:18" x14ac:dyDescent="0.35">
      <c r="B14" s="90"/>
      <c r="C14" s="90"/>
      <c r="D14" s="2" t="s">
        <v>103</v>
      </c>
      <c r="G14" s="23">
        <v>7</v>
      </c>
      <c r="H14" s="17" t="s">
        <v>113</v>
      </c>
      <c r="I14" s="16">
        <v>5</v>
      </c>
      <c r="J14" s="16" t="s">
        <v>105</v>
      </c>
      <c r="K14" s="33">
        <v>1</v>
      </c>
      <c r="L14" s="33" t="s">
        <v>116</v>
      </c>
      <c r="M14" s="33">
        <v>0.01</v>
      </c>
      <c r="N14" t="s">
        <v>86</v>
      </c>
      <c r="O14" t="s">
        <v>87</v>
      </c>
      <c r="P14" s="33"/>
      <c r="Q14" s="83" t="s">
        <v>88</v>
      </c>
      <c r="R14" s="84"/>
    </row>
    <row r="15" spans="2:18" x14ac:dyDescent="0.35">
      <c r="B15" s="90"/>
      <c r="C15" s="90"/>
      <c r="D15" s="2" t="s">
        <v>104</v>
      </c>
      <c r="G15" s="23">
        <v>8</v>
      </c>
      <c r="H15" s="17">
        <v>8</v>
      </c>
      <c r="I15" s="16"/>
      <c r="J15" s="16"/>
      <c r="K15" s="33">
        <v>1</v>
      </c>
      <c r="L15" s="33"/>
      <c r="M15" s="33"/>
      <c r="N15" t="s">
        <v>86</v>
      </c>
      <c r="O15" t="s">
        <v>87</v>
      </c>
      <c r="P15" s="33"/>
      <c r="Q15" s="83"/>
      <c r="R15" s="84"/>
    </row>
    <row r="16" spans="2:18" x14ac:dyDescent="0.35">
      <c r="B16" s="90"/>
      <c r="C16" s="90"/>
      <c r="D16" s="2"/>
      <c r="G16" s="23">
        <v>9</v>
      </c>
      <c r="H16" s="17"/>
      <c r="I16" s="16"/>
      <c r="J16" s="16"/>
      <c r="K16" s="33"/>
      <c r="L16" s="33"/>
      <c r="M16" s="33"/>
      <c r="N16" s="33"/>
      <c r="O16" s="33"/>
      <c r="P16" s="33"/>
      <c r="Q16" s="83"/>
      <c r="R16" s="84"/>
    </row>
    <row r="17" spans="2:18" x14ac:dyDescent="0.35">
      <c r="B17" s="90"/>
      <c r="C17" s="90"/>
      <c r="D17" s="2"/>
      <c r="G17" s="23">
        <v>10</v>
      </c>
      <c r="H17" s="17"/>
      <c r="I17" s="16"/>
      <c r="J17" s="16"/>
      <c r="K17" s="33"/>
      <c r="L17" s="33"/>
      <c r="M17" s="33"/>
      <c r="N17" s="33"/>
      <c r="O17" s="33"/>
      <c r="P17" s="33"/>
      <c r="Q17" s="83"/>
      <c r="R17" s="84"/>
    </row>
    <row r="18" spans="2:18" x14ac:dyDescent="0.35">
      <c r="B18" s="71"/>
      <c r="C18" s="71"/>
      <c r="D18" s="2"/>
      <c r="G18" s="23">
        <v>11</v>
      </c>
      <c r="H18" s="17"/>
      <c r="I18" s="16"/>
      <c r="J18" s="16"/>
      <c r="K18" s="33"/>
      <c r="L18" s="33"/>
      <c r="M18" s="33"/>
      <c r="N18" s="33"/>
      <c r="O18" s="33"/>
      <c r="P18" s="33"/>
      <c r="Q18" s="83"/>
      <c r="R18" s="84"/>
    </row>
    <row r="19" spans="2:18" x14ac:dyDescent="0.35">
      <c r="B19" s="70">
        <v>3</v>
      </c>
      <c r="C19" s="91"/>
      <c r="D19" s="2"/>
      <c r="G19" s="23">
        <v>12</v>
      </c>
      <c r="H19" s="17"/>
      <c r="I19" s="16"/>
      <c r="J19" s="16"/>
      <c r="K19" s="33"/>
      <c r="L19" s="33"/>
      <c r="M19" s="33"/>
      <c r="N19" s="33"/>
      <c r="O19" s="33"/>
      <c r="P19" s="33"/>
      <c r="Q19" s="83"/>
      <c r="R19" s="84"/>
    </row>
    <row r="20" spans="2:18" x14ac:dyDescent="0.35">
      <c r="B20" s="90"/>
      <c r="C20" s="92"/>
      <c r="D20" s="2"/>
      <c r="G20" s="23">
        <v>13</v>
      </c>
      <c r="H20" s="17"/>
      <c r="I20" s="16"/>
      <c r="J20" s="16"/>
      <c r="K20" s="33"/>
      <c r="L20" s="33"/>
      <c r="M20" s="33"/>
      <c r="N20" s="33"/>
      <c r="O20" s="33"/>
      <c r="P20" s="33"/>
      <c r="Q20" s="83"/>
      <c r="R20" s="84"/>
    </row>
    <row r="21" spans="2:18" x14ac:dyDescent="0.35">
      <c r="B21" s="90"/>
      <c r="C21" s="92"/>
      <c r="D21" s="2"/>
      <c r="G21" s="23">
        <v>14</v>
      </c>
      <c r="H21" s="17"/>
      <c r="I21" s="16"/>
      <c r="J21" s="16"/>
      <c r="K21" s="33"/>
      <c r="L21" s="33"/>
      <c r="M21" s="33"/>
      <c r="N21" s="33"/>
      <c r="O21" s="33"/>
      <c r="P21" s="33"/>
      <c r="Q21" s="83"/>
      <c r="R21" s="84"/>
    </row>
    <row r="22" spans="2:18" x14ac:dyDescent="0.35">
      <c r="B22" s="90"/>
      <c r="C22" s="92"/>
      <c r="D22" s="2"/>
      <c r="G22" s="23">
        <v>15</v>
      </c>
      <c r="H22" s="17"/>
      <c r="I22" s="16"/>
      <c r="J22" s="16"/>
      <c r="K22" s="33"/>
      <c r="L22" s="33"/>
      <c r="M22" s="33"/>
      <c r="N22" s="33"/>
      <c r="O22" s="33"/>
      <c r="P22" s="33"/>
      <c r="Q22" s="83"/>
      <c r="R22" s="84"/>
    </row>
    <row r="23" spans="2:18" x14ac:dyDescent="0.35">
      <c r="B23" s="90"/>
      <c r="C23" s="92"/>
      <c r="D23" s="2"/>
      <c r="G23" s="23">
        <v>16</v>
      </c>
      <c r="H23" s="17"/>
      <c r="I23" s="16"/>
      <c r="J23" s="16"/>
      <c r="K23" s="33"/>
      <c r="L23" s="33"/>
      <c r="M23" s="33"/>
      <c r="N23" s="33"/>
      <c r="O23" s="33"/>
      <c r="P23" s="33"/>
      <c r="Q23" s="83"/>
      <c r="R23" s="84"/>
    </row>
    <row r="24" spans="2:18" x14ac:dyDescent="0.35">
      <c r="B24" s="71"/>
      <c r="C24" s="93"/>
      <c r="D24" s="2"/>
      <c r="G24" s="23">
        <v>17</v>
      </c>
      <c r="H24" s="17"/>
      <c r="I24" s="16"/>
      <c r="J24" s="16"/>
      <c r="K24" s="33"/>
      <c r="L24" s="33"/>
      <c r="M24" s="33"/>
      <c r="N24" s="33"/>
      <c r="O24" s="33"/>
      <c r="P24" s="33"/>
      <c r="Q24" s="83"/>
      <c r="R24" s="84"/>
    </row>
    <row r="25" spans="2:18" x14ac:dyDescent="0.35">
      <c r="B25" s="70">
        <v>4</v>
      </c>
      <c r="C25" s="91" t="s">
        <v>29</v>
      </c>
      <c r="D25" s="2" t="s">
        <v>29</v>
      </c>
      <c r="G25" s="23">
        <v>18</v>
      </c>
      <c r="H25" s="17"/>
      <c r="I25" s="16"/>
      <c r="J25" s="16"/>
      <c r="K25" s="33"/>
      <c r="L25" s="33"/>
      <c r="M25" s="33"/>
      <c r="N25" s="33"/>
      <c r="O25" s="33"/>
      <c r="P25" s="33"/>
      <c r="Q25" s="83"/>
      <c r="R25" s="84"/>
    </row>
    <row r="26" spans="2:18" x14ac:dyDescent="0.35">
      <c r="B26" s="90"/>
      <c r="C26" s="92"/>
      <c r="D26" s="2" t="s">
        <v>29</v>
      </c>
    </row>
    <row r="27" spans="2:18" x14ac:dyDescent="0.35">
      <c r="B27" s="90"/>
      <c r="C27" s="92"/>
      <c r="D27" s="2" t="s">
        <v>29</v>
      </c>
    </row>
    <row r="28" spans="2:18" x14ac:dyDescent="0.35">
      <c r="B28" s="90"/>
      <c r="C28" s="92"/>
      <c r="D28" s="2" t="s">
        <v>29</v>
      </c>
      <c r="G28" s="51"/>
      <c r="H28" s="51"/>
      <c r="I28" s="88"/>
      <c r="J28" s="88"/>
      <c r="K28" s="88"/>
      <c r="L28" s="88"/>
      <c r="M28" s="88"/>
      <c r="N28" s="42"/>
    </row>
    <row r="29" spans="2:18" x14ac:dyDescent="0.35">
      <c r="B29" s="90"/>
      <c r="C29" s="92"/>
      <c r="D29" s="2" t="s">
        <v>29</v>
      </c>
      <c r="I29" s="94"/>
      <c r="J29" s="94"/>
      <c r="K29" s="94"/>
      <c r="L29" s="94"/>
      <c r="M29" s="94"/>
      <c r="N29" s="43"/>
    </row>
    <row r="30" spans="2:18" x14ac:dyDescent="0.35">
      <c r="B30" s="71"/>
      <c r="C30" s="93"/>
      <c r="D30" s="2" t="s">
        <v>29</v>
      </c>
    </row>
  </sheetData>
  <mergeCells count="40">
    <mergeCell ref="B1:E1"/>
    <mergeCell ref="G6:G7"/>
    <mergeCell ref="I6:I7"/>
    <mergeCell ref="J6:J7"/>
    <mergeCell ref="B25:B30"/>
    <mergeCell ref="C25:C30"/>
    <mergeCell ref="B7:B12"/>
    <mergeCell ref="C7:C12"/>
    <mergeCell ref="B13:B18"/>
    <mergeCell ref="C13:C18"/>
    <mergeCell ref="C19:C24"/>
    <mergeCell ref="B19:B24"/>
    <mergeCell ref="I29:M29"/>
    <mergeCell ref="G5:R5"/>
    <mergeCell ref="B3:G3"/>
    <mergeCell ref="Q7:R7"/>
    <mergeCell ref="G28:H28"/>
    <mergeCell ref="I28:M28"/>
    <mergeCell ref="B5:D5"/>
    <mergeCell ref="Q6:R6"/>
    <mergeCell ref="H6:H7"/>
    <mergeCell ref="Q25:R25"/>
    <mergeCell ref="Q14:R14"/>
    <mergeCell ref="Q15:R15"/>
    <mergeCell ref="Q22:R22"/>
    <mergeCell ref="Q23:R23"/>
    <mergeCell ref="Q24:R24"/>
    <mergeCell ref="Q16:R16"/>
    <mergeCell ref="Q17:R17"/>
    <mergeCell ref="Q18:R18"/>
    <mergeCell ref="Q8:R8"/>
    <mergeCell ref="Q9:R9"/>
    <mergeCell ref="Q19:R19"/>
    <mergeCell ref="Q20:R20"/>
    <mergeCell ref="Q21:R21"/>
    <mergeCell ref="Q13:R13"/>
    <mergeCell ref="K6:P6"/>
    <mergeCell ref="Q10:R10"/>
    <mergeCell ref="Q11:R11"/>
    <mergeCell ref="Q12:R1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P21"/>
  <sheetViews>
    <sheetView zoomScale="78" workbookViewId="0">
      <selection activeCell="Q8" sqref="Q8"/>
    </sheetView>
  </sheetViews>
  <sheetFormatPr defaultRowHeight="14.5" x14ac:dyDescent="0.35"/>
  <cols>
    <col min="6" max="6" width="12.1796875" bestFit="1" customWidth="1"/>
    <col min="7" max="7" width="17.54296875" bestFit="1" customWidth="1"/>
    <col min="8" max="8" width="10.54296875" customWidth="1"/>
    <col min="9" max="9" width="13.1796875" bestFit="1" customWidth="1"/>
    <col min="10" max="10" width="8.81640625" bestFit="1" customWidth="1"/>
    <col min="12" max="12" width="9.81640625" customWidth="1"/>
    <col min="13" max="13" width="30.26953125" bestFit="1" customWidth="1"/>
    <col min="14" max="14" width="10.81640625" customWidth="1"/>
  </cols>
  <sheetData>
    <row r="1" spans="2:14" x14ac:dyDescent="0.35">
      <c r="B1" s="66" t="s">
        <v>0</v>
      </c>
      <c r="C1" s="67"/>
      <c r="D1" s="67"/>
      <c r="E1" s="68"/>
    </row>
    <row r="3" spans="2:14" x14ac:dyDescent="0.35">
      <c r="B3" s="133" t="s">
        <v>42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</row>
    <row r="4" spans="2:14" x14ac:dyDescent="0.35">
      <c r="B4" s="77" t="s">
        <v>43</v>
      </c>
      <c r="C4" s="127" t="s">
        <v>44</v>
      </c>
      <c r="D4" s="107" t="s">
        <v>45</v>
      </c>
      <c r="E4" s="58" t="s">
        <v>46</v>
      </c>
      <c r="F4" s="56" t="s">
        <v>24</v>
      </c>
      <c r="G4" s="61"/>
      <c r="H4" s="61"/>
      <c r="I4" s="61"/>
      <c r="J4" s="61"/>
      <c r="K4" s="61"/>
      <c r="L4" s="57"/>
      <c r="M4" s="60" t="s">
        <v>25</v>
      </c>
      <c r="N4" s="60"/>
    </row>
    <row r="5" spans="2:14" ht="15" thickBot="1" x14ac:dyDescent="0.4">
      <c r="B5" s="106"/>
      <c r="C5" s="128"/>
      <c r="D5" s="108"/>
      <c r="E5" s="126"/>
      <c r="F5" s="26" t="s">
        <v>81</v>
      </c>
      <c r="G5" s="26" t="s">
        <v>82</v>
      </c>
      <c r="H5" s="26" t="s">
        <v>83</v>
      </c>
      <c r="I5" s="26" t="s">
        <v>26</v>
      </c>
      <c r="J5" s="26" t="s">
        <v>84</v>
      </c>
      <c r="K5" s="120"/>
      <c r="L5" s="121"/>
      <c r="M5" s="26" t="s">
        <v>27</v>
      </c>
      <c r="N5" s="26" t="s">
        <v>47</v>
      </c>
    </row>
    <row r="6" spans="2:14" ht="15" thickTop="1" x14ac:dyDescent="0.35">
      <c r="B6" s="24">
        <v>1</v>
      </c>
      <c r="C6" s="104" t="s">
        <v>48</v>
      </c>
      <c r="D6" t="s">
        <v>118</v>
      </c>
      <c r="E6" s="24"/>
      <c r="F6" s="29">
        <v>1</v>
      </c>
      <c r="G6" t="s">
        <v>128</v>
      </c>
      <c r="H6">
        <v>10.5</v>
      </c>
      <c r="I6" t="s">
        <v>86</v>
      </c>
      <c r="J6" t="s">
        <v>87</v>
      </c>
      <c r="K6" s="122"/>
      <c r="L6" s="123" t="s">
        <v>28</v>
      </c>
      <c r="M6" t="s">
        <v>133</v>
      </c>
      <c r="N6" t="s">
        <v>133</v>
      </c>
    </row>
    <row r="7" spans="2:14" x14ac:dyDescent="0.35">
      <c r="B7" s="12">
        <f>B6+1</f>
        <v>2</v>
      </c>
      <c r="C7" s="104"/>
      <c r="D7" t="s">
        <v>119</v>
      </c>
      <c r="E7" t="s">
        <v>127</v>
      </c>
      <c r="F7" s="8">
        <v>1</v>
      </c>
      <c r="G7" s="8" t="s">
        <v>31</v>
      </c>
      <c r="H7">
        <v>10.5</v>
      </c>
      <c r="I7" t="s">
        <v>86</v>
      </c>
      <c r="J7" t="s">
        <v>87</v>
      </c>
      <c r="K7" s="129"/>
      <c r="L7" s="130"/>
      <c r="M7" s="1" t="s">
        <v>132</v>
      </c>
      <c r="N7" s="1" t="s">
        <v>132</v>
      </c>
    </row>
    <row r="8" spans="2:14" x14ac:dyDescent="0.35">
      <c r="B8" s="12">
        <f t="shared" ref="B8:B13" si="0">B7+1</f>
        <v>3</v>
      </c>
      <c r="C8" s="104"/>
      <c r="D8" t="s">
        <v>120</v>
      </c>
      <c r="E8" s="12"/>
      <c r="F8" s="6">
        <v>1</v>
      </c>
      <c r="G8" t="s">
        <v>128</v>
      </c>
      <c r="H8" s="6">
        <v>-1</v>
      </c>
      <c r="I8" t="s">
        <v>86</v>
      </c>
      <c r="J8" t="s">
        <v>87</v>
      </c>
      <c r="K8" s="6"/>
      <c r="L8" s="6"/>
      <c r="M8" s="1" t="s">
        <v>132</v>
      </c>
      <c r="N8" s="1" t="s">
        <v>132</v>
      </c>
    </row>
    <row r="9" spans="2:14" x14ac:dyDescent="0.35">
      <c r="B9" s="12">
        <f t="shared" si="0"/>
        <v>4</v>
      </c>
      <c r="C9" s="104"/>
      <c r="D9" t="s">
        <v>121</v>
      </c>
      <c r="E9" t="s">
        <v>126</v>
      </c>
      <c r="F9" s="12">
        <v>1</v>
      </c>
      <c r="G9" t="s">
        <v>128</v>
      </c>
      <c r="H9" s="12">
        <v>0</v>
      </c>
      <c r="I9" t="s">
        <v>86</v>
      </c>
      <c r="J9" t="s">
        <v>87</v>
      </c>
      <c r="K9" s="131"/>
      <c r="L9" s="132"/>
      <c r="M9" s="1" t="s">
        <v>132</v>
      </c>
      <c r="N9" s="1" t="s">
        <v>132</v>
      </c>
    </row>
    <row r="10" spans="2:14" x14ac:dyDescent="0.35">
      <c r="B10" s="12">
        <f t="shared" si="0"/>
        <v>5</v>
      </c>
      <c r="C10" s="104"/>
      <c r="D10" t="s">
        <v>122</v>
      </c>
      <c r="E10" s="12"/>
      <c r="F10" s="15">
        <v>1</v>
      </c>
      <c r="G10" s="11" t="s">
        <v>129</v>
      </c>
      <c r="H10">
        <v>10.5</v>
      </c>
      <c r="I10" t="s">
        <v>86</v>
      </c>
      <c r="J10" t="s">
        <v>87</v>
      </c>
      <c r="K10" s="124"/>
      <c r="L10" s="125"/>
      <c r="M10" s="1" t="s">
        <v>132</v>
      </c>
      <c r="N10" s="1" t="s">
        <v>132</v>
      </c>
    </row>
    <row r="11" spans="2:14" x14ac:dyDescent="0.35">
      <c r="B11" s="12">
        <f t="shared" si="0"/>
        <v>6</v>
      </c>
      <c r="C11" s="104"/>
      <c r="D11" s="30"/>
      <c r="E11" t="s">
        <v>123</v>
      </c>
      <c r="F11" s="15">
        <v>1</v>
      </c>
      <c r="G11" s="11" t="s">
        <v>130</v>
      </c>
      <c r="H11">
        <v>10.5</v>
      </c>
      <c r="I11" t="s">
        <v>86</v>
      </c>
      <c r="J11" t="s">
        <v>87</v>
      </c>
      <c r="K11" s="124"/>
      <c r="L11" s="125"/>
      <c r="M11" t="s">
        <v>133</v>
      </c>
      <c r="N11" t="s">
        <v>133</v>
      </c>
    </row>
    <row r="12" spans="2:14" x14ac:dyDescent="0.35">
      <c r="B12" s="12">
        <f t="shared" si="0"/>
        <v>7</v>
      </c>
      <c r="C12" s="104"/>
      <c r="D12" s="30"/>
      <c r="E12" t="s">
        <v>124</v>
      </c>
      <c r="F12" s="15">
        <v>1</v>
      </c>
      <c r="G12" s="11" t="s">
        <v>131</v>
      </c>
      <c r="H12">
        <v>10.5</v>
      </c>
      <c r="I12" t="s">
        <v>86</v>
      </c>
      <c r="J12" t="s">
        <v>87</v>
      </c>
      <c r="K12" s="124"/>
      <c r="L12" s="125"/>
      <c r="M12" t="s">
        <v>133</v>
      </c>
      <c r="N12" t="s">
        <v>133</v>
      </c>
    </row>
    <row r="13" spans="2:14" ht="15" thickBot="1" x14ac:dyDescent="0.4">
      <c r="B13" s="25">
        <f t="shared" si="0"/>
        <v>8</v>
      </c>
      <c r="C13" s="105"/>
      <c r="D13" s="31"/>
      <c r="E13" s="25" t="s">
        <v>125</v>
      </c>
      <c r="F13" s="25">
        <v>1</v>
      </c>
      <c r="G13" t="s">
        <v>128</v>
      </c>
      <c r="H13" s="25">
        <v>0.1</v>
      </c>
      <c r="I13" t="s">
        <v>86</v>
      </c>
      <c r="J13" t="s">
        <v>87</v>
      </c>
      <c r="K13" s="118"/>
      <c r="L13" s="119"/>
      <c r="M13" t="s">
        <v>133</v>
      </c>
      <c r="N13" t="s">
        <v>133</v>
      </c>
    </row>
    <row r="14" spans="2:14" ht="15" thickTop="1" x14ac:dyDescent="0.35">
      <c r="B14" s="27"/>
      <c r="C14" s="27"/>
      <c r="D14" s="28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spans="2:14" ht="14.5" customHeight="1" x14ac:dyDescent="0.35">
      <c r="B15" s="27" t="s">
        <v>49</v>
      </c>
      <c r="C15" s="27"/>
      <c r="D15" s="28"/>
      <c r="E15" s="27"/>
      <c r="F15" s="7"/>
      <c r="G15" s="7"/>
      <c r="H15" s="7"/>
      <c r="I15" s="7"/>
      <c r="J15" s="7"/>
      <c r="K15" s="103"/>
      <c r="L15" s="103"/>
      <c r="M15" s="7"/>
    </row>
    <row r="16" spans="2:14" ht="15" thickBot="1" x14ac:dyDescent="0.4">
      <c r="M16" s="7"/>
    </row>
    <row r="17" spans="2:16" ht="15" thickTop="1" x14ac:dyDescent="0.35">
      <c r="C17" s="97" t="s">
        <v>50</v>
      </c>
      <c r="D17" s="99"/>
      <c r="E17" s="99"/>
      <c r="F17" s="100"/>
      <c r="G17" s="38" t="s">
        <v>51</v>
      </c>
      <c r="H17" s="97" t="s">
        <v>52</v>
      </c>
      <c r="I17" s="98"/>
      <c r="J17" s="99"/>
      <c r="K17" s="99"/>
      <c r="L17" s="100"/>
      <c r="M17" s="97" t="s">
        <v>53</v>
      </c>
      <c r="N17" s="98"/>
      <c r="O17" s="99"/>
      <c r="P17" s="100"/>
    </row>
    <row r="18" spans="2:16" ht="14.5" customHeight="1" x14ac:dyDescent="0.35">
      <c r="B18" s="111" t="s">
        <v>44</v>
      </c>
      <c r="C18" s="112" t="s">
        <v>54</v>
      </c>
      <c r="D18" s="96" t="s">
        <v>55</v>
      </c>
      <c r="E18" s="96" t="s">
        <v>56</v>
      </c>
      <c r="F18" s="95" t="s">
        <v>57</v>
      </c>
      <c r="G18" s="117" t="s">
        <v>58</v>
      </c>
      <c r="H18" s="113" t="s">
        <v>59</v>
      </c>
      <c r="I18" s="114"/>
      <c r="J18" s="96" t="s">
        <v>54</v>
      </c>
      <c r="K18" s="96" t="s">
        <v>55</v>
      </c>
      <c r="L18" s="95" t="s">
        <v>56</v>
      </c>
      <c r="M18" s="101" t="s">
        <v>59</v>
      </c>
      <c r="N18" s="96" t="s">
        <v>54</v>
      </c>
      <c r="O18" s="96" t="s">
        <v>55</v>
      </c>
      <c r="P18" s="95" t="s">
        <v>56</v>
      </c>
    </row>
    <row r="19" spans="2:16" x14ac:dyDescent="0.35">
      <c r="B19" s="111"/>
      <c r="C19" s="112"/>
      <c r="D19" s="96"/>
      <c r="E19" s="96"/>
      <c r="F19" s="95"/>
      <c r="G19" s="117"/>
      <c r="H19" s="115"/>
      <c r="I19" s="116"/>
      <c r="J19" s="96"/>
      <c r="K19" s="96"/>
      <c r="L19" s="95"/>
      <c r="M19" s="102"/>
      <c r="N19" s="96"/>
      <c r="O19" s="96"/>
      <c r="P19" s="95"/>
    </row>
    <row r="20" spans="2:16" x14ac:dyDescent="0.35">
      <c r="B20" s="41" t="s">
        <v>48</v>
      </c>
      <c r="C20" s="37">
        <v>8</v>
      </c>
      <c r="D20" s="39">
        <v>8</v>
      </c>
      <c r="E20" s="39">
        <v>8</v>
      </c>
      <c r="F20" s="40"/>
      <c r="G20" s="45"/>
      <c r="H20" s="109" t="s">
        <v>105</v>
      </c>
      <c r="I20" s="110"/>
      <c r="J20" s="2">
        <v>0</v>
      </c>
      <c r="K20" s="39">
        <v>0</v>
      </c>
      <c r="L20" s="40">
        <v>0</v>
      </c>
      <c r="M20" s="44" t="s">
        <v>105</v>
      </c>
      <c r="N20" s="2">
        <v>0</v>
      </c>
      <c r="O20" s="39">
        <v>0</v>
      </c>
      <c r="P20" s="40">
        <v>0</v>
      </c>
    </row>
    <row r="21" spans="2:16" x14ac:dyDescent="0.35">
      <c r="M21" s="3"/>
    </row>
  </sheetData>
  <mergeCells count="36">
    <mergeCell ref="B1:E1"/>
    <mergeCell ref="K13:L13"/>
    <mergeCell ref="M4:N4"/>
    <mergeCell ref="K5:L5"/>
    <mergeCell ref="K6:L6"/>
    <mergeCell ref="K10:L10"/>
    <mergeCell ref="F4:L4"/>
    <mergeCell ref="E4:E5"/>
    <mergeCell ref="C4:C5"/>
    <mergeCell ref="K7:L7"/>
    <mergeCell ref="K9:L9"/>
    <mergeCell ref="K11:L11"/>
    <mergeCell ref="K12:L12"/>
    <mergeCell ref="B3:N3"/>
    <mergeCell ref="K15:L15"/>
    <mergeCell ref="C6:C13"/>
    <mergeCell ref="B4:B5"/>
    <mergeCell ref="D4:D5"/>
    <mergeCell ref="H20:I20"/>
    <mergeCell ref="B18:B19"/>
    <mergeCell ref="C18:C19"/>
    <mergeCell ref="D18:D19"/>
    <mergeCell ref="E18:E19"/>
    <mergeCell ref="F18:F19"/>
    <mergeCell ref="J18:J19"/>
    <mergeCell ref="C17:F17"/>
    <mergeCell ref="H17:L17"/>
    <mergeCell ref="H18:I19"/>
    <mergeCell ref="G18:G19"/>
    <mergeCell ref="K18:K19"/>
    <mergeCell ref="L18:L19"/>
    <mergeCell ref="O18:O19"/>
    <mergeCell ref="P18:P19"/>
    <mergeCell ref="M17:P17"/>
    <mergeCell ref="M18:M19"/>
    <mergeCell ref="N18:N19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B9CA12-8961-4BEB-8D70-94D8CF82FF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FE877D-432C-44A9-9889-489A1D266CB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3E854E7-906F-4C7C-AFC0-1BC802AE8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2026-03-23T10:05:38Z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